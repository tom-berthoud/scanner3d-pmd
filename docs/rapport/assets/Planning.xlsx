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hessoit-my.sharepoint.com/personal/tom_berthoud_hes-so_ch/Documents/ProjetMultiScaner3D/"/>
    </mc:Choice>
  </mc:AlternateContent>
  <xr:revisionPtr revIDLastSave="343" documentId="8_{4C4FB89F-EA90-4D91-AE4E-64D724AF4ABA}" xr6:coauthVersionLast="47" xr6:coauthVersionMax="47" xr10:uidLastSave="{14A7C3C5-AC77-4A9A-96D8-C25E6A95C036}"/>
  <bookViews>
    <workbookView xWindow="-96" yWindow="-96" windowWidth="23232" windowHeight="13872" xr2:uid="{00000000-000D-0000-FFFF-FFFF00000000}"/>
  </bookViews>
  <sheets>
    <sheet name="Tâches" sheetId="4" r:id="rId1"/>
  </sheets>
  <definedNames>
    <definedName name="_xlnm._FilterDatabase" localSheetId="0" hidden="1">Tâches!$A$1:$Z$67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4" l="1"/>
  <c r="Z6" i="4"/>
  <c r="Z12" i="4"/>
  <c r="Z15" i="4"/>
  <c r="Z16" i="4"/>
  <c r="Z20" i="4"/>
  <c r="Z22" i="4"/>
  <c r="Z23" i="4"/>
  <c r="Z24" i="4"/>
  <c r="Z25" i="4"/>
  <c r="Z28" i="4"/>
  <c r="Z29" i="4"/>
  <c r="Z30" i="4"/>
  <c r="X5" i="4"/>
  <c r="X6" i="4"/>
  <c r="X42" i="4"/>
  <c r="Z42" i="4" s="1"/>
  <c r="X41" i="4"/>
  <c r="Z41" i="4" s="1"/>
  <c r="X40" i="4"/>
  <c r="Z40" i="4" s="1"/>
  <c r="X39" i="4"/>
  <c r="Z39" i="4" s="1"/>
  <c r="X20" i="4"/>
  <c r="X21" i="4"/>
  <c r="Z21" i="4" s="1"/>
  <c r="X22" i="4"/>
  <c r="X50" i="4"/>
  <c r="Z50" i="4" s="1"/>
  <c r="X51" i="4"/>
  <c r="Z51" i="4" s="1"/>
  <c r="X52" i="4"/>
  <c r="Z52" i="4" s="1"/>
  <c r="X53" i="4"/>
  <c r="Z53" i="4" s="1"/>
  <c r="X54" i="4"/>
  <c r="Z54" i="4" s="1"/>
  <c r="X55" i="4"/>
  <c r="Z55" i="4" s="1"/>
  <c r="X4" i="4" l="1"/>
  <c r="Z4" i="4" s="1"/>
  <c r="X7" i="4"/>
  <c r="Z7" i="4" s="1"/>
  <c r="X8" i="4"/>
  <c r="Z8" i="4" s="1"/>
  <c r="X9" i="4"/>
  <c r="Z9" i="4" s="1"/>
  <c r="X10" i="4"/>
  <c r="Z10" i="4" s="1"/>
  <c r="X11" i="4"/>
  <c r="Z11" i="4" s="1"/>
  <c r="X13" i="4"/>
  <c r="Z13" i="4" s="1"/>
  <c r="X14" i="4"/>
  <c r="Z14" i="4" s="1"/>
  <c r="X15" i="4"/>
  <c r="X16" i="4"/>
  <c r="X17" i="4"/>
  <c r="Z17" i="4" s="1"/>
  <c r="X18" i="4"/>
  <c r="Z18" i="4" s="1"/>
  <c r="F61" i="4" l="1"/>
  <c r="X56" i="4"/>
  <c r="Z56" i="4" s="1"/>
  <c r="X57" i="4"/>
  <c r="Z57" i="4" s="1"/>
  <c r="X58" i="4"/>
  <c r="Z58" i="4" s="1"/>
  <c r="X59" i="4"/>
  <c r="Z59" i="4" s="1"/>
  <c r="X60" i="4"/>
  <c r="Z60" i="4" s="1"/>
  <c r="X19" i="4"/>
  <c r="Z19" i="4" s="1"/>
  <c r="X23" i="4"/>
  <c r="X24" i="4"/>
  <c r="X25" i="4"/>
  <c r="X26" i="4"/>
  <c r="Z26" i="4" s="1"/>
  <c r="X27" i="4"/>
  <c r="Z27" i="4" s="1"/>
  <c r="X43" i="4"/>
  <c r="Z43" i="4" s="1"/>
  <c r="X44" i="4"/>
  <c r="Z44" i="4" s="1"/>
  <c r="X45" i="4"/>
  <c r="Z45" i="4" s="1"/>
  <c r="X46" i="4"/>
  <c r="Z46" i="4" s="1"/>
  <c r="X47" i="4"/>
  <c r="Z47" i="4"/>
  <c r="X48" i="4"/>
  <c r="Z48" i="4"/>
  <c r="X49" i="4"/>
  <c r="Z49" i="4" s="1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3" i="4"/>
  <c r="Z3" i="4" s="1"/>
  <c r="Z2" i="4"/>
  <c r="G61" i="4"/>
  <c r="H61" i="4"/>
  <c r="Y61" i="4"/>
  <c r="Z61" i="4" l="1"/>
  <c r="X6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Birling François</author>
  </authors>
  <commentList>
    <comment ref="E4" authorId="0" shapeId="0" xr:uid="{00000000-0006-0000-0000-000001000000}">
      <text>
        <r>
          <rPr>
            <sz val="9"/>
            <color indexed="81"/>
            <rFont val="Tahoma"/>
            <charset val="1"/>
          </rPr>
          <t>- Se renseigner sur des réalisations similaires
- Echanger des idées, noter sur un mindmap
- Discuter les activités : qui quoi quand
- Détailler le planning de la phase T10</t>
        </r>
      </text>
    </comment>
  </commentList>
</comments>
</file>

<file path=xl/sharedStrings.xml><?xml version="1.0" encoding="utf-8"?>
<sst xmlns="http://schemas.openxmlformats.org/spreadsheetml/2006/main" count="174" uniqueCount="138">
  <si>
    <t>N°</t>
  </si>
  <si>
    <t>Description</t>
  </si>
  <si>
    <t>Resp</t>
  </si>
  <si>
    <t>Effort estimé</t>
  </si>
  <si>
    <t>s.1</t>
  </si>
  <si>
    <t>s.2</t>
  </si>
  <si>
    <t>s.3</t>
  </si>
  <si>
    <t>s.4</t>
  </si>
  <si>
    <t>s.5</t>
  </si>
  <si>
    <t>s.6</t>
  </si>
  <si>
    <t>s.7</t>
  </si>
  <si>
    <t>s.8</t>
  </si>
  <si>
    <t>s.9</t>
  </si>
  <si>
    <t>s.10</t>
  </si>
  <si>
    <t>s.11</t>
  </si>
  <si>
    <t>s.12</t>
  </si>
  <si>
    <t>s.13</t>
  </si>
  <si>
    <t>s.14</t>
  </si>
  <si>
    <t>s.15</t>
  </si>
  <si>
    <t>s.16</t>
  </si>
  <si>
    <t>Consommé</t>
  </si>
  <si>
    <t>Reste à faire</t>
  </si>
  <si>
    <t>Delta</t>
  </si>
  <si>
    <t>T10</t>
  </si>
  <si>
    <t>Élaboration et vérification du concept</t>
  </si>
  <si>
    <t>Tom</t>
  </si>
  <si>
    <t>T10.10</t>
  </si>
  <si>
    <t>Définition du concept</t>
  </si>
  <si>
    <t>T10.10.10</t>
  </si>
  <si>
    <t>Brainstorming Scanner 3D</t>
  </si>
  <si>
    <t>- Rechercher des scanners 3D existants (open source)
- Échanger des idées sur l'architecture
- Discuter les rôles : qui quoi quand
- Détailler le planning de la phase T10</t>
  </si>
  <si>
    <t>Tous</t>
  </si>
  <si>
    <t>T10.10.15</t>
  </si>
  <si>
    <t>Cahier des charges</t>
  </si>
  <si>
    <t>T10.10.20</t>
  </si>
  <si>
    <t>Recherche des composants et solutions</t>
  </si>
  <si>
    <t>Caméra (type, résolution, interface)</t>
  </si>
  <si>
    <t>Jason</t>
  </si>
  <si>
    <t>2.5</t>
  </si>
  <si>
    <t>Laser ligne (longueur d'onde, puissance)</t>
  </si>
  <si>
    <t>Hadrien</t>
  </si>
  <si>
    <t>Plateau rotatif motorisé (stepper + driver)</t>
  </si>
  <si>
    <t>Tim</t>
  </si>
  <si>
    <t>Microcontrôleur / Raspberry Pi</t>
  </si>
  <si>
    <t>Luc</t>
  </si>
  <si>
    <t>Bibliothèques logicielles (OpenCV, Open3D, PCL)</t>
  </si>
  <si>
    <t>Idée de la concetion de l'interface utilisateur (écran bus de connexion, etc..)</t>
  </si>
  <si>
    <t>Conception boîtier / structure mécanique</t>
  </si>
  <si>
    <t>T10.10.30</t>
  </si>
  <si>
    <t>Comparaison et sélection du concept</t>
  </si>
  <si>
    <t>. . .</t>
  </si>
  <si>
    <t>T10.20</t>
  </si>
  <si>
    <t>Vérification des composants et technologies</t>
  </si>
  <si>
    <t>T10.20.10</t>
  </si>
  <si>
    <t>Acquisition des composants</t>
  </si>
  <si>
    <t>T10.20.20</t>
  </si>
  <si>
    <t>Schéma électronique &amp; calculs triangulation</t>
  </si>
  <si>
    <t>Luc / Hadrien</t>
  </si>
  <si>
    <t>T10.20.30</t>
  </si>
  <si>
    <t>Prise en main composants et technologies</t>
  </si>
  <si>
    <t>T10.30</t>
  </si>
  <si>
    <t>Validation des spécifications et du concept</t>
  </si>
  <si>
    <t>T10.30.10</t>
  </si>
  <si>
    <t>Revue intermédiaire avec le prof.</t>
  </si>
  <si>
    <t>T10.30.20</t>
  </si>
  <si>
    <t>Rédiger la spécification technique</t>
  </si>
  <si>
    <t>T10.30.30</t>
  </si>
  <si>
    <t>Séance finale de validation du concept</t>
  </si>
  <si>
    <t>T20</t>
  </si>
  <si>
    <t>Prototype pour la démonstration du concept</t>
  </si>
  <si>
    <t>T20.10</t>
  </si>
  <si>
    <t>Mécanique</t>
  </si>
  <si>
    <t>T20.10.10</t>
  </si>
  <si>
    <t>Modélisation 3D du boîtier (CAO)</t>
  </si>
  <si>
    <t>T20.10.20</t>
  </si>
  <si>
    <t>Fabrication boîtier (impression 3D / découpe)</t>
  </si>
  <si>
    <t>T20.10.30</t>
  </si>
  <si>
    <t>Conception &amp; fabrication plateau rotatif</t>
  </si>
  <si>
    <t>T20.10.40</t>
  </si>
  <si>
    <t>Montage support caméra + laser (positionnement angulaire)</t>
  </si>
  <si>
    <t>T20.20</t>
  </si>
  <si>
    <t>Électronique &amp; câblage</t>
  </si>
  <si>
    <t>T20.20.10</t>
  </si>
  <si>
    <t>Schéma électronique complet</t>
  </si>
  <si>
    <t>T20.20.20</t>
  </si>
  <si>
    <t>Câblage moteur stepper + driver</t>
  </si>
  <si>
    <t>T20.20.30</t>
  </si>
  <si>
    <t>Câblage caméra + laser sur Raspberry Pi</t>
  </si>
  <si>
    <t>T20.20.40</t>
  </si>
  <si>
    <t>Alimentation 230V → régulation + sécurité</t>
  </si>
  <si>
    <t>T20.20.50</t>
  </si>
  <si>
    <t>Tests unitaires électroniques</t>
  </si>
  <si>
    <t>T20.30</t>
  </si>
  <si>
    <t>Logiciel d'acquisition &amp; traitement</t>
  </si>
  <si>
    <t>T20.30.5</t>
  </si>
  <si>
    <t>Architecture logiciel</t>
  </si>
  <si>
    <t>tous</t>
  </si>
  <si>
    <t>T20.30.10</t>
  </si>
  <si>
    <t>Acquisition images caméra (config, calibration)</t>
  </si>
  <si>
    <t>T20.30.20</t>
  </si>
  <si>
    <t>Algo triangulation laser/caméra</t>
  </si>
  <si>
    <t>T20.30.30</t>
  </si>
  <si>
    <t>Algo reconstruction nuage de points 3D</t>
  </si>
  <si>
    <t>Tom /Jason</t>
  </si>
  <si>
    <t>T20.30.40</t>
  </si>
  <si>
    <t>Export fichier 3D (STL / OBJ)</t>
  </si>
  <si>
    <t>…</t>
  </si>
  <si>
    <t>T30</t>
  </si>
  <si>
    <t>Mise au point &amp; intégration finale</t>
  </si>
  <si>
    <t>T30.10</t>
  </si>
  <si>
    <t>Interface utilisateur (native et/ou web)</t>
  </si>
  <si>
    <t>T30.20</t>
  </si>
  <si>
    <t>Intégration complète (UI ↔ algo ↔ hardware)</t>
  </si>
  <si>
    <t>T30.30</t>
  </si>
  <si>
    <t>Tests système &amp; corrections (scan complet)</t>
  </si>
  <si>
    <t>T40</t>
  </si>
  <si>
    <t>Préparation des livrables</t>
  </si>
  <si>
    <t>T40.10</t>
  </si>
  <si>
    <t>Rapport de vérification de la spécification</t>
  </si>
  <si>
    <t>T40.20</t>
  </si>
  <si>
    <t>Rapport final (chacun sa partie, Tom coord.)</t>
  </si>
  <si>
    <t>T40.30</t>
  </si>
  <si>
    <t>Photos</t>
  </si>
  <si>
    <t>T40.40</t>
  </si>
  <si>
    <t>Vidéo + montage</t>
  </si>
  <si>
    <t>T40.50</t>
  </si>
  <si>
    <t>Scénario démonstration</t>
  </si>
  <si>
    <t>T40.60</t>
  </si>
  <si>
    <t>Rangement place de travail</t>
  </si>
  <si>
    <t>T40.70</t>
  </si>
  <si>
    <t>Présentation PowerPoint</t>
  </si>
  <si>
    <t>T80</t>
  </si>
  <si>
    <t>Imprévus (10 %)</t>
  </si>
  <si>
    <t>T90</t>
  </si>
  <si>
    <t>Gestion de projet (~10 %)</t>
  </si>
  <si>
    <t>Réalisation des plannings</t>
  </si>
  <si>
    <t>Suivi de la progression de chaque membre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</si>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</sst>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;[Red]\-0.0\ "/>
  </numFmts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0" borderId="1" xfId="0" applyNumberFormat="1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/>
    <xf numFmtId="49" fontId="2" fillId="0" borderId="3" xfId="0" applyNumberFormat="1" applyFont="1" applyBorder="1"/>
    <xf numFmtId="0" fontId="1" fillId="0" borderId="4" xfId="0" applyFont="1" applyBorder="1"/>
    <xf numFmtId="0" fontId="2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center"/>
    </xf>
    <xf numFmtId="49" fontId="2" fillId="0" borderId="6" xfId="0" applyNumberFormat="1" applyFont="1" applyBorder="1"/>
    <xf numFmtId="49" fontId="2" fillId="0" borderId="7" xfId="0" applyNumberFormat="1" applyFont="1" applyBorder="1"/>
    <xf numFmtId="0" fontId="1" fillId="0" borderId="8" xfId="0" applyFont="1" applyBorder="1"/>
    <xf numFmtId="0" fontId="2" fillId="0" borderId="8" xfId="0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49" fontId="2" fillId="0" borderId="1" xfId="0" applyNumberFormat="1" applyFont="1" applyBorder="1"/>
    <xf numFmtId="0" fontId="0" fillId="0" borderId="2" xfId="0" applyBorder="1"/>
    <xf numFmtId="49" fontId="2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164" fontId="1" fillId="0" borderId="9" xfId="0" applyNumberFormat="1" applyFont="1" applyBorder="1"/>
    <xf numFmtId="164" fontId="0" fillId="0" borderId="10" xfId="0" applyNumberFormat="1" applyBorder="1"/>
    <xf numFmtId="164" fontId="0" fillId="0" borderId="9" xfId="0" applyNumberFormat="1" applyBorder="1"/>
    <xf numFmtId="164" fontId="0" fillId="0" borderId="0" xfId="0" applyNumberFormat="1"/>
    <xf numFmtId="2" fontId="2" fillId="0" borderId="5" xfId="0" applyNumberFormat="1" applyFont="1" applyBorder="1"/>
    <xf numFmtId="0" fontId="2" fillId="0" borderId="5" xfId="0" applyFont="1" applyBorder="1" applyAlignment="1">
      <alignment wrapText="1"/>
    </xf>
    <xf numFmtId="2" fontId="2" fillId="0" borderId="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4CA6C9-BDA3-45BC-8263-52427C67AF3E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1"/>
  <sheetViews>
    <sheetView tabSelected="1" zoomScale="64" zoomScaleNormal="70" workbookViewId="0">
      <pane ySplit="1" topLeftCell="A10" activePane="bottomLeft" state="frozen"/>
      <selection pane="bottomLeft" activeCell="L62" sqref="L62"/>
    </sheetView>
  </sheetViews>
  <sheetFormatPr defaultColWidth="11.42578125" defaultRowHeight="12.4"/>
  <cols>
    <col min="1" max="1" width="13.140625" style="24" customWidth="1"/>
    <col min="2" max="2" width="4.140625" style="5" customWidth="1"/>
    <col min="3" max="3" width="4.140625" style="25" customWidth="1"/>
    <col min="4" max="4" width="19.85546875" style="25" customWidth="1"/>
    <col min="5" max="5" width="44.28515625" style="25" customWidth="1"/>
    <col min="6" max="6" width="23.5703125" style="25" customWidth="1"/>
    <col min="7" max="7" width="12.28515625" customWidth="1"/>
    <col min="8" max="23" width="4.5703125" style="26" customWidth="1"/>
    <col min="24" max="24" width="12" style="26" customWidth="1"/>
    <col min="25" max="25" width="12.42578125" bestFit="1" customWidth="1"/>
    <col min="26" max="26" width="11.42578125" style="30" customWidth="1"/>
  </cols>
  <sheetData>
    <row r="1" spans="1:26" s="5" customFormat="1" ht="12.6" thickBot="1">
      <c r="A1" s="1" t="s">
        <v>0</v>
      </c>
      <c r="B1" s="2" t="s">
        <v>1</v>
      </c>
      <c r="C1" s="3"/>
      <c r="D1" s="3"/>
      <c r="E1" s="3"/>
      <c r="F1" s="3" t="s">
        <v>2</v>
      </c>
      <c r="G1" s="2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2" t="s">
        <v>21</v>
      </c>
      <c r="Z1" s="27" t="s">
        <v>22</v>
      </c>
    </row>
    <row r="2" spans="1:26">
      <c r="A2" s="6" t="s">
        <v>23</v>
      </c>
      <c r="B2" s="7" t="s">
        <v>24</v>
      </c>
      <c r="C2" s="8"/>
      <c r="D2" s="8"/>
      <c r="E2" s="8"/>
      <c r="F2" s="8" t="s">
        <v>25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1"/>
      <c r="Y2" s="9"/>
      <c r="Z2" s="28">
        <f t="shared" ref="Z2:Z59" si="0">G2-X2-Y2</f>
        <v>0</v>
      </c>
    </row>
    <row r="3" spans="1:26">
      <c r="A3" s="6" t="s">
        <v>26</v>
      </c>
      <c r="B3" s="7"/>
      <c r="C3" s="8" t="s">
        <v>27</v>
      </c>
      <c r="D3" s="8"/>
      <c r="E3" s="12"/>
      <c r="F3" s="8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>
        <f>SUM(H3:W3)</f>
        <v>0</v>
      </c>
      <c r="Y3" s="9"/>
      <c r="Z3" s="28">
        <f t="shared" si="0"/>
        <v>0</v>
      </c>
    </row>
    <row r="4" spans="1:26" ht="61.5">
      <c r="A4" s="6" t="s">
        <v>28</v>
      </c>
      <c r="B4" s="7"/>
      <c r="C4" s="8"/>
      <c r="D4" s="12" t="s">
        <v>29</v>
      </c>
      <c r="E4" s="32" t="s">
        <v>30</v>
      </c>
      <c r="F4" s="8" t="s">
        <v>31</v>
      </c>
      <c r="G4" s="9">
        <v>3</v>
      </c>
      <c r="H4" s="10"/>
      <c r="I4" s="10">
        <v>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>
        <f t="shared" ref="X4:X18" si="1">SUM(H4:W4)</f>
        <v>3</v>
      </c>
      <c r="Y4" s="9"/>
      <c r="Z4" s="28">
        <f t="shared" ref="Z4:Z30" si="2">G4-X4-Y4</f>
        <v>0</v>
      </c>
    </row>
    <row r="5" spans="1:26">
      <c r="A5" s="6" t="s">
        <v>32</v>
      </c>
      <c r="B5" s="7"/>
      <c r="C5" s="8"/>
      <c r="D5" s="12" t="s">
        <v>33</v>
      </c>
      <c r="E5" s="32"/>
      <c r="F5" s="8" t="s">
        <v>31</v>
      </c>
      <c r="G5" s="9">
        <v>5</v>
      </c>
      <c r="H5" s="10"/>
      <c r="I5" s="10">
        <v>3</v>
      </c>
      <c r="J5" s="10">
        <v>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>
        <f t="shared" si="1"/>
        <v>5</v>
      </c>
      <c r="Y5" s="9"/>
      <c r="Z5" s="28">
        <f t="shared" si="2"/>
        <v>0</v>
      </c>
    </row>
    <row r="6" spans="1:26">
      <c r="A6" s="6" t="s">
        <v>34</v>
      </c>
      <c r="B6" s="7"/>
      <c r="C6" s="8"/>
      <c r="D6" s="12" t="s">
        <v>35</v>
      </c>
      <c r="E6" s="12"/>
      <c r="F6" s="8"/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>
        <f t="shared" si="1"/>
        <v>0</v>
      </c>
      <c r="Y6" s="9"/>
      <c r="Z6" s="28">
        <f t="shared" si="2"/>
        <v>0</v>
      </c>
    </row>
    <row r="7" spans="1:26">
      <c r="A7" s="6"/>
      <c r="B7" s="7"/>
      <c r="C7" s="8"/>
      <c r="D7" s="12"/>
      <c r="E7" s="12" t="s">
        <v>36</v>
      </c>
      <c r="F7" s="8" t="s">
        <v>37</v>
      </c>
      <c r="G7" s="9">
        <v>3</v>
      </c>
      <c r="H7" s="10"/>
      <c r="I7" s="10"/>
      <c r="J7" s="10" t="s">
        <v>38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>
        <f t="shared" si="1"/>
        <v>0</v>
      </c>
      <c r="Y7" s="9"/>
      <c r="Z7" s="28">
        <f t="shared" si="2"/>
        <v>3</v>
      </c>
    </row>
    <row r="8" spans="1:26">
      <c r="A8" s="6"/>
      <c r="B8" s="7"/>
      <c r="C8" s="8"/>
      <c r="D8" s="12"/>
      <c r="E8" s="12" t="s">
        <v>39</v>
      </c>
      <c r="F8" s="8" t="s">
        <v>40</v>
      </c>
      <c r="G8" s="9">
        <v>3</v>
      </c>
      <c r="H8" s="10"/>
      <c r="I8" s="10"/>
      <c r="J8" s="10">
        <v>3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>
        <f t="shared" si="1"/>
        <v>3</v>
      </c>
      <c r="Y8" s="9"/>
      <c r="Z8" s="28">
        <f t="shared" si="2"/>
        <v>0</v>
      </c>
    </row>
    <row r="9" spans="1:26">
      <c r="A9" s="6"/>
      <c r="B9" s="7"/>
      <c r="C9" s="8"/>
      <c r="D9" s="12"/>
      <c r="E9" s="12" t="s">
        <v>41</v>
      </c>
      <c r="F9" s="8" t="s">
        <v>42</v>
      </c>
      <c r="G9" s="9">
        <v>3</v>
      </c>
      <c r="H9" s="10"/>
      <c r="I9" s="10"/>
      <c r="J9" s="10"/>
      <c r="K9" s="10">
        <v>4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>
        <f t="shared" si="1"/>
        <v>4</v>
      </c>
      <c r="Y9" s="9"/>
      <c r="Z9" s="28">
        <f t="shared" si="2"/>
        <v>-1</v>
      </c>
    </row>
    <row r="10" spans="1:26">
      <c r="A10" s="6"/>
      <c r="B10" s="7"/>
      <c r="C10" s="8"/>
      <c r="D10" s="12"/>
      <c r="E10" s="12" t="s">
        <v>43</v>
      </c>
      <c r="F10" s="8" t="s">
        <v>44</v>
      </c>
      <c r="G10" s="9">
        <v>3</v>
      </c>
      <c r="H10" s="10"/>
      <c r="I10" s="10"/>
      <c r="J10" s="10"/>
      <c r="K10" s="10">
        <v>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>
        <f t="shared" si="1"/>
        <v>5</v>
      </c>
      <c r="Y10" s="9"/>
      <c r="Z10" s="28">
        <f t="shared" si="2"/>
        <v>-2</v>
      </c>
    </row>
    <row r="11" spans="1:26">
      <c r="A11" s="6"/>
      <c r="B11" s="7"/>
      <c r="C11" s="8"/>
      <c r="D11" s="12"/>
      <c r="E11" s="31" t="s">
        <v>45</v>
      </c>
      <c r="F11" s="8" t="s">
        <v>25</v>
      </c>
      <c r="G11" s="9">
        <v>4</v>
      </c>
      <c r="H11" s="10"/>
      <c r="I11" s="10"/>
      <c r="J11" s="10"/>
      <c r="K11" s="10">
        <v>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>
        <f t="shared" si="1"/>
        <v>2</v>
      </c>
      <c r="Y11" s="9"/>
      <c r="Z11" s="28">
        <f t="shared" si="2"/>
        <v>2</v>
      </c>
    </row>
    <row r="12" spans="1:26" ht="24.6">
      <c r="A12" s="6"/>
      <c r="B12" s="7"/>
      <c r="C12" s="8"/>
      <c r="D12" s="12"/>
      <c r="E12" s="33" t="s">
        <v>46</v>
      </c>
      <c r="F12" s="8" t="s">
        <v>37</v>
      </c>
      <c r="G12" s="9">
        <v>3</v>
      </c>
      <c r="H12" s="10"/>
      <c r="I12" s="10"/>
      <c r="J12" s="10"/>
      <c r="K12" s="10">
        <v>3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  <c r="Y12" s="9"/>
      <c r="Z12" s="28">
        <f t="shared" si="2"/>
        <v>3</v>
      </c>
    </row>
    <row r="13" spans="1:26">
      <c r="A13" s="6"/>
      <c r="B13" s="7"/>
      <c r="C13" s="8"/>
      <c r="D13" s="12"/>
      <c r="E13" s="12" t="s">
        <v>47</v>
      </c>
      <c r="F13" s="8" t="s">
        <v>42</v>
      </c>
      <c r="G13" s="9">
        <v>4</v>
      </c>
      <c r="H13" s="10"/>
      <c r="I13" s="10"/>
      <c r="J13" s="10">
        <v>2</v>
      </c>
      <c r="K13" s="10">
        <v>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>
        <f t="shared" si="1"/>
        <v>4</v>
      </c>
      <c r="Y13" s="9"/>
      <c r="Z13" s="28">
        <f t="shared" si="2"/>
        <v>0</v>
      </c>
    </row>
    <row r="14" spans="1:26">
      <c r="A14" s="6" t="s">
        <v>48</v>
      </c>
      <c r="B14" s="7"/>
      <c r="C14" s="8"/>
      <c r="D14" s="8" t="s">
        <v>49</v>
      </c>
      <c r="E14" s="8"/>
      <c r="F14" s="8" t="s">
        <v>31</v>
      </c>
      <c r="G14" s="9">
        <v>3</v>
      </c>
      <c r="H14" s="10"/>
      <c r="I14" s="10"/>
      <c r="J14" s="10"/>
      <c r="K14" s="10"/>
      <c r="L14" s="10">
        <v>4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>
        <f t="shared" si="1"/>
        <v>4</v>
      </c>
      <c r="Y14" s="9"/>
      <c r="Z14" s="28">
        <f t="shared" si="2"/>
        <v>-1</v>
      </c>
    </row>
    <row r="15" spans="1:26">
      <c r="A15" s="6"/>
      <c r="B15" s="7"/>
      <c r="C15" s="8"/>
      <c r="D15" s="8" t="s">
        <v>50</v>
      </c>
      <c r="E15" s="8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>
        <f t="shared" si="1"/>
        <v>0</v>
      </c>
      <c r="Y15" s="9"/>
      <c r="Z15" s="28">
        <f t="shared" si="2"/>
        <v>0</v>
      </c>
    </row>
    <row r="16" spans="1:26">
      <c r="A16" s="6" t="s">
        <v>51</v>
      </c>
      <c r="B16" s="7"/>
      <c r="C16" s="8" t="s">
        <v>52</v>
      </c>
      <c r="D16" s="8"/>
      <c r="E16" s="8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>
        <f t="shared" si="1"/>
        <v>0</v>
      </c>
      <c r="Y16" s="9"/>
      <c r="Z16" s="28">
        <f t="shared" si="2"/>
        <v>0</v>
      </c>
    </row>
    <row r="17" spans="1:26">
      <c r="A17" s="6" t="s">
        <v>53</v>
      </c>
      <c r="B17" s="7"/>
      <c r="C17" s="8"/>
      <c r="D17" s="8" t="s">
        <v>54</v>
      </c>
      <c r="E17" s="8"/>
      <c r="F17" s="8" t="s">
        <v>25</v>
      </c>
      <c r="G17" s="9">
        <v>4</v>
      </c>
      <c r="H17" s="10"/>
      <c r="I17" s="10"/>
      <c r="J17" s="10"/>
      <c r="K17" s="10"/>
      <c r="L17" s="10">
        <v>2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>
        <f t="shared" si="1"/>
        <v>2</v>
      </c>
      <c r="Y17" s="9"/>
      <c r="Z17" s="28">
        <f t="shared" si="2"/>
        <v>2</v>
      </c>
    </row>
    <row r="18" spans="1:26">
      <c r="A18" s="6" t="s">
        <v>55</v>
      </c>
      <c r="B18" s="7"/>
      <c r="C18" s="8"/>
      <c r="D18" s="8" t="s">
        <v>56</v>
      </c>
      <c r="E18" s="8"/>
      <c r="F18" s="8" t="s">
        <v>57</v>
      </c>
      <c r="G18" s="9">
        <v>8</v>
      </c>
      <c r="H18" s="10"/>
      <c r="I18" s="10"/>
      <c r="J18" s="10"/>
      <c r="K18" s="10"/>
      <c r="L18" s="10"/>
      <c r="M18" s="10">
        <v>5</v>
      </c>
      <c r="N18" s="10">
        <v>5</v>
      </c>
      <c r="O18" s="10"/>
      <c r="P18" s="10"/>
      <c r="Q18" s="10"/>
      <c r="R18" s="10"/>
      <c r="S18" s="10"/>
      <c r="T18" s="10"/>
      <c r="U18" s="10"/>
      <c r="V18" s="10"/>
      <c r="W18" s="10"/>
      <c r="X18" s="11">
        <f t="shared" si="1"/>
        <v>10</v>
      </c>
      <c r="Y18" s="9"/>
      <c r="Z18" s="28">
        <f t="shared" si="2"/>
        <v>-2</v>
      </c>
    </row>
    <row r="19" spans="1:26">
      <c r="A19" s="6" t="s">
        <v>58</v>
      </c>
      <c r="B19" s="7"/>
      <c r="C19" s="8"/>
      <c r="D19" s="8" t="s">
        <v>59</v>
      </c>
      <c r="E19" s="8"/>
      <c r="F19" s="8" t="s">
        <v>31</v>
      </c>
      <c r="G19" s="9">
        <v>10</v>
      </c>
      <c r="H19" s="10"/>
      <c r="I19" s="10"/>
      <c r="J19" s="10"/>
      <c r="K19" s="10"/>
      <c r="L19" s="10">
        <v>2</v>
      </c>
      <c r="M19" s="10">
        <v>3</v>
      </c>
      <c r="N19" s="10">
        <v>6</v>
      </c>
      <c r="O19" s="10"/>
      <c r="P19" s="10"/>
      <c r="Q19" s="10"/>
      <c r="R19" s="10"/>
      <c r="S19" s="10"/>
      <c r="T19" s="10"/>
      <c r="U19" s="10"/>
      <c r="V19" s="10"/>
      <c r="W19" s="10"/>
      <c r="X19" s="11">
        <f t="shared" ref="X19:X25" si="3">SUM(H19:W19)</f>
        <v>11</v>
      </c>
      <c r="Y19" s="9"/>
      <c r="Z19" s="28">
        <f t="shared" si="2"/>
        <v>-1</v>
      </c>
    </row>
    <row r="20" spans="1:26">
      <c r="A20" s="6" t="s">
        <v>60</v>
      </c>
      <c r="B20" s="7"/>
      <c r="C20" s="8" t="s">
        <v>61</v>
      </c>
      <c r="D20" s="8"/>
      <c r="E20" s="8"/>
      <c r="F20" s="8"/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>
        <f t="shared" si="3"/>
        <v>0</v>
      </c>
      <c r="Y20" s="9"/>
      <c r="Z20" s="28">
        <f t="shared" si="2"/>
        <v>0</v>
      </c>
    </row>
    <row r="21" spans="1:26">
      <c r="A21" s="6" t="s">
        <v>62</v>
      </c>
      <c r="B21" s="7"/>
      <c r="C21" s="8"/>
      <c r="D21" s="8" t="s">
        <v>63</v>
      </c>
      <c r="E21" s="8"/>
      <c r="F21" s="8" t="s">
        <v>25</v>
      </c>
      <c r="G21" s="9">
        <v>1</v>
      </c>
      <c r="H21" s="10"/>
      <c r="I21" s="10"/>
      <c r="J21" s="10"/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/>
      <c r="V21" s="10"/>
      <c r="W21" s="10"/>
      <c r="X21" s="11">
        <f t="shared" si="3"/>
        <v>1</v>
      </c>
      <c r="Y21" s="9"/>
      <c r="Z21" s="28">
        <f t="shared" si="2"/>
        <v>0</v>
      </c>
    </row>
    <row r="22" spans="1:26">
      <c r="A22" s="6" t="s">
        <v>64</v>
      </c>
      <c r="B22" s="7"/>
      <c r="C22" s="8"/>
      <c r="D22" s="8" t="s">
        <v>65</v>
      </c>
      <c r="E22" s="8"/>
      <c r="F22" s="8" t="s">
        <v>25</v>
      </c>
      <c r="G22" s="9">
        <v>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>
        <f t="shared" si="3"/>
        <v>0</v>
      </c>
      <c r="Y22" s="9"/>
      <c r="Z22" s="28">
        <f t="shared" si="2"/>
        <v>6</v>
      </c>
    </row>
    <row r="23" spans="1:26">
      <c r="A23" s="6" t="s">
        <v>66</v>
      </c>
      <c r="B23" s="7"/>
      <c r="C23" s="8"/>
      <c r="D23" s="8" t="s">
        <v>67</v>
      </c>
      <c r="E23" s="8"/>
      <c r="F23" s="8" t="s">
        <v>31</v>
      </c>
      <c r="G23" s="9">
        <v>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>
        <f t="shared" si="3"/>
        <v>0</v>
      </c>
      <c r="Y23" s="9"/>
      <c r="Z23" s="28">
        <f t="shared" si="2"/>
        <v>1</v>
      </c>
    </row>
    <row r="24" spans="1:26">
      <c r="A24" s="6" t="s">
        <v>68</v>
      </c>
      <c r="B24" s="7" t="s">
        <v>69</v>
      </c>
      <c r="C24" s="8"/>
      <c r="D24" s="8"/>
      <c r="E24" s="8"/>
      <c r="F24" s="8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>
        <f t="shared" si="3"/>
        <v>0</v>
      </c>
      <c r="Y24" s="9"/>
      <c r="Z24" s="28">
        <f t="shared" si="2"/>
        <v>0</v>
      </c>
    </row>
    <row r="25" spans="1:26">
      <c r="A25" s="6" t="s">
        <v>70</v>
      </c>
      <c r="B25" s="7"/>
      <c r="C25" s="8" t="s">
        <v>71</v>
      </c>
      <c r="D25" s="8"/>
      <c r="E25" s="8"/>
      <c r="F25" s="8" t="s">
        <v>42</v>
      </c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>
        <f t="shared" si="3"/>
        <v>0</v>
      </c>
      <c r="Y25" s="9"/>
      <c r="Z25" s="28">
        <f t="shared" si="2"/>
        <v>0</v>
      </c>
    </row>
    <row r="26" spans="1:26">
      <c r="A26" s="6" t="s">
        <v>72</v>
      </c>
      <c r="B26" s="7"/>
      <c r="C26" s="8"/>
      <c r="D26" s="8" t="s">
        <v>73</v>
      </c>
      <c r="E26" s="8"/>
      <c r="F26" s="8" t="s">
        <v>42</v>
      </c>
      <c r="G26" s="9">
        <v>12</v>
      </c>
      <c r="H26" s="10"/>
      <c r="I26" s="10"/>
      <c r="J26" s="10"/>
      <c r="K26" s="10"/>
      <c r="L26" s="10">
        <v>2</v>
      </c>
      <c r="M26" s="10">
        <v>2</v>
      </c>
      <c r="N26" s="10">
        <v>4</v>
      </c>
      <c r="O26" s="10">
        <v>4</v>
      </c>
      <c r="P26" s="10"/>
      <c r="Q26" s="10"/>
      <c r="R26" s="10"/>
      <c r="S26" s="10"/>
      <c r="T26" s="10"/>
      <c r="U26" s="10"/>
      <c r="V26" s="10"/>
      <c r="W26" s="10"/>
      <c r="X26" s="11">
        <f t="shared" ref="X26:X60" si="4">SUM(H26:W26)</f>
        <v>12</v>
      </c>
      <c r="Y26" s="9"/>
      <c r="Z26" s="28">
        <f t="shared" si="2"/>
        <v>0</v>
      </c>
    </row>
    <row r="27" spans="1:26">
      <c r="A27" s="6" t="s">
        <v>74</v>
      </c>
      <c r="B27" s="7"/>
      <c r="C27" s="8"/>
      <c r="D27" s="8" t="s">
        <v>75</v>
      </c>
      <c r="E27" s="8"/>
      <c r="F27" s="8" t="s">
        <v>42</v>
      </c>
      <c r="G27" s="9">
        <v>8</v>
      </c>
      <c r="H27" s="10"/>
      <c r="I27" s="10"/>
      <c r="J27" s="10"/>
      <c r="K27" s="10"/>
      <c r="L27" s="10"/>
      <c r="M27" s="10"/>
      <c r="N27" s="10">
        <v>4</v>
      </c>
      <c r="O27" s="10">
        <v>4</v>
      </c>
      <c r="P27" s="10"/>
      <c r="Q27" s="10"/>
      <c r="R27" s="10"/>
      <c r="S27" s="10"/>
      <c r="T27" s="10"/>
      <c r="U27" s="10"/>
      <c r="V27" s="10"/>
      <c r="W27" s="10"/>
      <c r="X27" s="11">
        <f t="shared" si="4"/>
        <v>8</v>
      </c>
      <c r="Y27" s="9"/>
      <c r="Z27" s="28">
        <f t="shared" si="2"/>
        <v>0</v>
      </c>
    </row>
    <row r="28" spans="1:26">
      <c r="A28" s="6" t="s">
        <v>76</v>
      </c>
      <c r="B28" s="7"/>
      <c r="C28" s="8"/>
      <c r="D28" s="8" t="s">
        <v>77</v>
      </c>
      <c r="E28" s="8"/>
      <c r="F28" s="8" t="s">
        <v>42</v>
      </c>
      <c r="G28" s="9">
        <v>10</v>
      </c>
      <c r="H28" s="10"/>
      <c r="I28" s="10"/>
      <c r="J28" s="10"/>
      <c r="K28" s="10"/>
      <c r="L28" s="10"/>
      <c r="M28" s="10">
        <v>2</v>
      </c>
      <c r="N28" s="10">
        <v>2</v>
      </c>
      <c r="O28" s="10">
        <v>2</v>
      </c>
      <c r="P28" s="10"/>
      <c r="Q28" s="10"/>
      <c r="R28" s="10"/>
      <c r="S28" s="10"/>
      <c r="T28" s="10"/>
      <c r="U28" s="10"/>
      <c r="V28" s="10"/>
      <c r="W28" s="10"/>
      <c r="X28" s="11"/>
      <c r="Y28" s="9"/>
      <c r="Z28" s="28">
        <f t="shared" si="2"/>
        <v>10</v>
      </c>
    </row>
    <row r="29" spans="1:26">
      <c r="A29" s="6" t="s">
        <v>78</v>
      </c>
      <c r="B29" s="7"/>
      <c r="C29" s="8"/>
      <c r="D29" s="8" t="s">
        <v>79</v>
      </c>
      <c r="E29" s="8"/>
      <c r="F29" s="8" t="s">
        <v>37</v>
      </c>
      <c r="G29" s="9">
        <v>5</v>
      </c>
      <c r="H29" s="10"/>
      <c r="I29" s="10"/>
      <c r="J29" s="10"/>
      <c r="K29" s="10"/>
      <c r="L29" s="10">
        <v>1</v>
      </c>
      <c r="M29" s="10">
        <v>2</v>
      </c>
      <c r="N29" s="10">
        <v>2</v>
      </c>
      <c r="O29" s="10"/>
      <c r="P29" s="10"/>
      <c r="Q29" s="10"/>
      <c r="R29" s="10"/>
      <c r="S29" s="10"/>
      <c r="T29" s="10"/>
      <c r="U29" s="10"/>
      <c r="V29" s="10"/>
      <c r="W29" s="10"/>
      <c r="X29" s="11"/>
      <c r="Y29" s="9"/>
      <c r="Z29" s="28">
        <f t="shared" si="2"/>
        <v>5</v>
      </c>
    </row>
    <row r="30" spans="1:26">
      <c r="A30" s="6" t="s">
        <v>80</v>
      </c>
      <c r="B30" s="7"/>
      <c r="C30" s="8" t="s">
        <v>81</v>
      </c>
      <c r="D30" s="8"/>
      <c r="E30" s="8"/>
      <c r="F30" s="8"/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  <c r="Y30" s="9"/>
      <c r="Z30" s="28">
        <f t="shared" si="2"/>
        <v>0</v>
      </c>
    </row>
    <row r="31" spans="1:26">
      <c r="A31" s="6" t="s">
        <v>82</v>
      </c>
      <c r="B31" s="7"/>
      <c r="C31" s="8"/>
      <c r="D31" s="8" t="s">
        <v>83</v>
      </c>
      <c r="E31" s="8"/>
      <c r="F31" s="8" t="s">
        <v>44</v>
      </c>
      <c r="G31" s="9">
        <v>6</v>
      </c>
      <c r="H31" s="10"/>
      <c r="I31" s="10"/>
      <c r="J31" s="10"/>
      <c r="K31" s="10"/>
      <c r="L31" s="10"/>
      <c r="M31" s="10">
        <v>3</v>
      </c>
      <c r="N31" s="10">
        <v>3</v>
      </c>
      <c r="O31" s="10"/>
      <c r="P31" s="10"/>
      <c r="Q31" s="10"/>
      <c r="R31" s="10"/>
      <c r="S31" s="10"/>
      <c r="T31" s="10"/>
      <c r="U31" s="10"/>
      <c r="V31" s="10"/>
      <c r="W31" s="10"/>
      <c r="X31" s="11"/>
      <c r="Y31" s="9"/>
      <c r="Z31" s="28"/>
    </row>
    <row r="32" spans="1:26">
      <c r="A32" s="6" t="s">
        <v>84</v>
      </c>
      <c r="B32" s="7"/>
      <c r="C32" s="8"/>
      <c r="D32" s="8" t="s">
        <v>85</v>
      </c>
      <c r="E32" s="8"/>
      <c r="F32" s="8" t="s">
        <v>40</v>
      </c>
      <c r="G32" s="9">
        <v>5</v>
      </c>
      <c r="H32" s="10"/>
      <c r="I32" s="10"/>
      <c r="J32" s="10"/>
      <c r="K32" s="10"/>
      <c r="L32" s="10">
        <v>2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  <c r="Y32" s="9"/>
      <c r="Z32" s="28"/>
    </row>
    <row r="33" spans="1:26">
      <c r="A33" s="6" t="s">
        <v>86</v>
      </c>
      <c r="B33" s="7"/>
      <c r="C33" s="8"/>
      <c r="D33" s="8" t="s">
        <v>87</v>
      </c>
      <c r="E33" s="8"/>
      <c r="F33" s="8" t="s">
        <v>40</v>
      </c>
      <c r="G33" s="9">
        <v>5</v>
      </c>
      <c r="H33" s="10"/>
      <c r="I33" s="10"/>
      <c r="J33" s="10"/>
      <c r="K33" s="10"/>
      <c r="L33" s="10">
        <v>2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  <c r="Y33" s="9"/>
      <c r="Z33" s="28"/>
    </row>
    <row r="34" spans="1:26">
      <c r="A34" s="6" t="s">
        <v>88</v>
      </c>
      <c r="B34" s="7"/>
      <c r="C34" s="8"/>
      <c r="D34" s="8" t="s">
        <v>89</v>
      </c>
      <c r="E34" s="8"/>
      <c r="F34" s="8" t="s">
        <v>44</v>
      </c>
      <c r="G34" s="9">
        <v>4</v>
      </c>
      <c r="H34" s="10"/>
      <c r="I34" s="10"/>
      <c r="J34" s="10"/>
      <c r="K34" s="10"/>
      <c r="L34" s="10"/>
      <c r="M34" s="10">
        <v>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  <c r="Y34" s="9"/>
      <c r="Z34" s="28"/>
    </row>
    <row r="35" spans="1:26">
      <c r="A35" s="6" t="s">
        <v>90</v>
      </c>
      <c r="B35" s="7"/>
      <c r="C35" s="8"/>
      <c r="D35" s="8" t="s">
        <v>91</v>
      </c>
      <c r="E35" s="8"/>
      <c r="F35" s="8" t="s">
        <v>44</v>
      </c>
      <c r="G35" s="9">
        <v>5</v>
      </c>
      <c r="H35" s="10"/>
      <c r="I35" s="10"/>
      <c r="J35" s="10"/>
      <c r="K35" s="10"/>
      <c r="L35" s="10"/>
      <c r="M35" s="10"/>
      <c r="N35" s="10">
        <v>3</v>
      </c>
      <c r="O35" s="10"/>
      <c r="P35" s="10"/>
      <c r="Q35" s="10"/>
      <c r="R35" s="10"/>
      <c r="S35" s="10"/>
      <c r="T35" s="10"/>
      <c r="U35" s="10"/>
      <c r="V35" s="10"/>
      <c r="W35" s="10"/>
      <c r="X35" s="11"/>
      <c r="Y35" s="9"/>
      <c r="Z35" s="28"/>
    </row>
    <row r="36" spans="1:26">
      <c r="A36" s="6" t="s">
        <v>92</v>
      </c>
      <c r="B36" s="7"/>
      <c r="C36" s="8" t="s">
        <v>93</v>
      </c>
      <c r="D36" s="8"/>
      <c r="E36" s="8"/>
      <c r="F36" s="8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9"/>
      <c r="Z36" s="28"/>
    </row>
    <row r="37" spans="1:26">
      <c r="A37" s="6" t="s">
        <v>94</v>
      </c>
      <c r="B37" s="7"/>
      <c r="C37" s="8"/>
      <c r="D37" s="8" t="s">
        <v>95</v>
      </c>
      <c r="E37" s="8"/>
      <c r="F37" s="8" t="s">
        <v>96</v>
      </c>
      <c r="G37" s="9">
        <v>5</v>
      </c>
      <c r="H37" s="10"/>
      <c r="I37" s="10"/>
      <c r="J37" s="10">
        <v>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  <c r="Y37" s="9"/>
      <c r="Z37" s="28"/>
    </row>
    <row r="38" spans="1:26">
      <c r="A38" s="6" t="s">
        <v>97</v>
      </c>
      <c r="B38" s="7"/>
      <c r="C38" s="8"/>
      <c r="D38" s="8" t="s">
        <v>98</v>
      </c>
      <c r="E38" s="8"/>
      <c r="F38" s="8" t="s">
        <v>25</v>
      </c>
      <c r="G38" s="9">
        <v>8</v>
      </c>
      <c r="H38" s="10"/>
      <c r="I38" s="10"/>
      <c r="J38" s="10"/>
      <c r="K38" s="10">
        <v>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9"/>
      <c r="Z38" s="28"/>
    </row>
    <row r="39" spans="1:26">
      <c r="A39" s="6" t="s">
        <v>99</v>
      </c>
      <c r="B39" s="7"/>
      <c r="C39" s="8"/>
      <c r="D39" s="8" t="s">
        <v>100</v>
      </c>
      <c r="E39" s="8"/>
      <c r="F39" s="8" t="s">
        <v>25</v>
      </c>
      <c r="G39" s="9">
        <v>15</v>
      </c>
      <c r="H39" s="10"/>
      <c r="I39" s="10"/>
      <c r="J39" s="10"/>
      <c r="K39" s="10"/>
      <c r="L39" s="10">
        <v>5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>
        <f>SUM(H39:W39)</f>
        <v>5</v>
      </c>
      <c r="Y39" s="9"/>
      <c r="Z39" s="28">
        <f>G39-X39-Y39</f>
        <v>10</v>
      </c>
    </row>
    <row r="40" spans="1:26">
      <c r="A40" s="6" t="s">
        <v>101</v>
      </c>
      <c r="B40" s="7"/>
      <c r="C40" s="8"/>
      <c r="D40" s="8" t="s">
        <v>102</v>
      </c>
      <c r="E40" s="8"/>
      <c r="F40" s="8" t="s">
        <v>103</v>
      </c>
      <c r="G40" s="9">
        <v>15</v>
      </c>
      <c r="H40" s="10"/>
      <c r="I40" s="10"/>
      <c r="J40" s="10"/>
      <c r="K40" s="10"/>
      <c r="L40" s="10"/>
      <c r="M40" s="10">
        <v>5</v>
      </c>
      <c r="N40" s="10">
        <v>5</v>
      </c>
      <c r="O40" s="10"/>
      <c r="P40" s="10"/>
      <c r="Q40" s="10"/>
      <c r="R40" s="10"/>
      <c r="S40" s="10"/>
      <c r="T40" s="10"/>
      <c r="U40" s="10"/>
      <c r="V40" s="10"/>
      <c r="W40" s="10"/>
      <c r="X40" s="11">
        <f>SUM(H40:W40)</f>
        <v>10</v>
      </c>
      <c r="Y40" s="9"/>
      <c r="Z40" s="28">
        <f>G40-X40-Y40</f>
        <v>5</v>
      </c>
    </row>
    <row r="41" spans="1:26">
      <c r="A41" s="6" t="s">
        <v>104</v>
      </c>
      <c r="B41" s="7"/>
      <c r="C41" s="8"/>
      <c r="D41" s="8" t="s">
        <v>105</v>
      </c>
      <c r="E41" s="8"/>
      <c r="F41" s="8" t="s">
        <v>37</v>
      </c>
      <c r="G41" s="9">
        <v>5</v>
      </c>
      <c r="H41" s="10"/>
      <c r="I41" s="10"/>
      <c r="J41" s="10"/>
      <c r="K41" s="10"/>
      <c r="L41" s="10"/>
      <c r="M41" s="10">
        <v>5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>
        <f>SUM(H41:W41)</f>
        <v>5</v>
      </c>
      <c r="Y41" s="9"/>
      <c r="Z41" s="28">
        <f>G41-X41-Y41</f>
        <v>0</v>
      </c>
    </row>
    <row r="42" spans="1:26">
      <c r="A42" s="6" t="s">
        <v>106</v>
      </c>
      <c r="B42" s="7"/>
      <c r="C42" s="8"/>
      <c r="D42" s="8" t="s">
        <v>50</v>
      </c>
      <c r="E42" s="8"/>
      <c r="F42" s="8"/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>
        <f>SUM(H42:W42)</f>
        <v>0</v>
      </c>
      <c r="Y42" s="9"/>
      <c r="Z42" s="28">
        <f>G42-X42-Y42</f>
        <v>0</v>
      </c>
    </row>
    <row r="43" spans="1:26">
      <c r="A43" s="6" t="s">
        <v>107</v>
      </c>
      <c r="B43" s="7" t="s">
        <v>108</v>
      </c>
      <c r="C43" s="8"/>
      <c r="D43" s="8"/>
      <c r="E43" s="8"/>
      <c r="F43" s="8"/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>
        <f t="shared" si="4"/>
        <v>0</v>
      </c>
      <c r="Y43" s="9"/>
      <c r="Z43" s="28">
        <f t="shared" si="0"/>
        <v>0</v>
      </c>
    </row>
    <row r="44" spans="1:26">
      <c r="A44" s="6" t="s">
        <v>109</v>
      </c>
      <c r="B44" s="7"/>
      <c r="C44" s="8" t="s">
        <v>110</v>
      </c>
      <c r="D44" s="8"/>
      <c r="E44" s="8"/>
      <c r="F44" s="8" t="s">
        <v>37</v>
      </c>
      <c r="G44" s="9">
        <v>20</v>
      </c>
      <c r="H44" s="10"/>
      <c r="I44" s="10"/>
      <c r="J44" s="10"/>
      <c r="K44" s="10"/>
      <c r="L44" s="10">
        <v>5</v>
      </c>
      <c r="M44" s="10">
        <v>5</v>
      </c>
      <c r="N44" s="10"/>
      <c r="O44" s="10">
        <v>5</v>
      </c>
      <c r="P44" s="10"/>
      <c r="Q44" s="10"/>
      <c r="R44" s="10"/>
      <c r="S44" s="10"/>
      <c r="T44" s="10"/>
      <c r="U44" s="10"/>
      <c r="V44" s="10"/>
      <c r="W44" s="10"/>
      <c r="X44" s="11">
        <f t="shared" si="4"/>
        <v>15</v>
      </c>
      <c r="Y44" s="9"/>
      <c r="Z44" s="28">
        <f t="shared" si="0"/>
        <v>5</v>
      </c>
    </row>
    <row r="45" spans="1:26">
      <c r="A45" s="6" t="s">
        <v>111</v>
      </c>
      <c r="B45" s="7"/>
      <c r="C45" s="8" t="s">
        <v>112</v>
      </c>
      <c r="D45" s="8"/>
      <c r="E45" s="8"/>
      <c r="F45" s="8" t="s">
        <v>37</v>
      </c>
      <c r="G45" s="9">
        <v>10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>
        <f t="shared" si="4"/>
        <v>0</v>
      </c>
      <c r="Y45" s="9"/>
      <c r="Z45" s="28">
        <f t="shared" si="0"/>
        <v>10</v>
      </c>
    </row>
    <row r="46" spans="1:26">
      <c r="A46" s="6" t="s">
        <v>113</v>
      </c>
      <c r="B46" s="7"/>
      <c r="C46" s="8" t="s">
        <v>114</v>
      </c>
      <c r="D46" s="8"/>
      <c r="E46" s="8"/>
      <c r="F46" s="8" t="s">
        <v>31</v>
      </c>
      <c r="G46" s="9">
        <v>30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>
        <f t="shared" si="4"/>
        <v>0</v>
      </c>
      <c r="Y46" s="9"/>
      <c r="Z46" s="28">
        <f t="shared" si="0"/>
        <v>30</v>
      </c>
    </row>
    <row r="47" spans="1:26">
      <c r="A47" s="6" t="s">
        <v>115</v>
      </c>
      <c r="B47" s="7" t="s">
        <v>116</v>
      </c>
      <c r="C47" s="8"/>
      <c r="D47" s="8"/>
      <c r="E47" s="8"/>
      <c r="F47" s="8"/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>
        <f t="shared" si="4"/>
        <v>0</v>
      </c>
      <c r="Y47" s="9"/>
      <c r="Z47" s="28">
        <f t="shared" si="0"/>
        <v>0</v>
      </c>
    </row>
    <row r="48" spans="1:26">
      <c r="A48" s="6" t="s">
        <v>117</v>
      </c>
      <c r="B48" s="7"/>
      <c r="C48" s="8" t="s">
        <v>118</v>
      </c>
      <c r="D48" s="8"/>
      <c r="E48" s="8"/>
      <c r="F48" s="8" t="s">
        <v>25</v>
      </c>
      <c r="G48" s="9">
        <v>4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>
        <f t="shared" si="4"/>
        <v>0</v>
      </c>
      <c r="Y48" s="9"/>
      <c r="Z48" s="28">
        <f t="shared" si="0"/>
        <v>4</v>
      </c>
    </row>
    <row r="49" spans="1:26">
      <c r="A49" s="6" t="s">
        <v>119</v>
      </c>
      <c r="B49" s="7"/>
      <c r="C49" s="8" t="s">
        <v>120</v>
      </c>
      <c r="D49" s="8"/>
      <c r="E49" s="8"/>
      <c r="F49" s="8" t="s">
        <v>31</v>
      </c>
      <c r="G49" s="9">
        <v>15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>
        <f t="shared" si="4"/>
        <v>0</v>
      </c>
      <c r="Y49" s="9"/>
      <c r="Z49" s="28">
        <f t="shared" si="0"/>
        <v>15</v>
      </c>
    </row>
    <row r="50" spans="1:26">
      <c r="A50" s="6" t="s">
        <v>121</v>
      </c>
      <c r="B50" s="7"/>
      <c r="C50" s="8" t="s">
        <v>122</v>
      </c>
      <c r="D50" s="8"/>
      <c r="E50" s="8"/>
      <c r="F50" s="8" t="s">
        <v>42</v>
      </c>
      <c r="G50" s="9">
        <v>2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>
        <f t="shared" si="4"/>
        <v>0</v>
      </c>
      <c r="Y50" s="9"/>
      <c r="Z50" s="28">
        <f t="shared" si="0"/>
        <v>2</v>
      </c>
    </row>
    <row r="51" spans="1:26">
      <c r="A51" s="6" t="s">
        <v>123</v>
      </c>
      <c r="B51" s="7"/>
      <c r="C51" s="8" t="s">
        <v>124</v>
      </c>
      <c r="D51" s="8"/>
      <c r="E51" s="8"/>
      <c r="F51" s="8" t="s">
        <v>37</v>
      </c>
      <c r="G51" s="9">
        <v>6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>
        <f t="shared" si="4"/>
        <v>0</v>
      </c>
      <c r="Y51" s="9"/>
      <c r="Z51" s="28">
        <f t="shared" si="0"/>
        <v>6</v>
      </c>
    </row>
    <row r="52" spans="1:26">
      <c r="A52" s="6" t="s">
        <v>125</v>
      </c>
      <c r="B52" s="7"/>
      <c r="C52" s="8" t="s">
        <v>126</v>
      </c>
      <c r="D52" s="8"/>
      <c r="E52" s="8"/>
      <c r="F52" s="8" t="s">
        <v>44</v>
      </c>
      <c r="G52" s="9">
        <v>3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>
        <f t="shared" si="4"/>
        <v>0</v>
      </c>
      <c r="Y52" s="9"/>
      <c r="Z52" s="28">
        <f t="shared" si="0"/>
        <v>3</v>
      </c>
    </row>
    <row r="53" spans="1:26">
      <c r="A53" s="6" t="s">
        <v>127</v>
      </c>
      <c r="B53" s="7"/>
      <c r="C53" s="8" t="s">
        <v>128</v>
      </c>
      <c r="D53" s="8"/>
      <c r="E53" s="8"/>
      <c r="F53" s="8" t="s">
        <v>31</v>
      </c>
      <c r="G53" s="9">
        <v>2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>
        <f t="shared" si="4"/>
        <v>0</v>
      </c>
      <c r="Y53" s="9"/>
      <c r="Z53" s="28">
        <f t="shared" si="0"/>
        <v>2</v>
      </c>
    </row>
    <row r="54" spans="1:26">
      <c r="A54" s="6" t="s">
        <v>129</v>
      </c>
      <c r="B54" s="7"/>
      <c r="C54" s="8" t="s">
        <v>130</v>
      </c>
      <c r="D54" s="8"/>
      <c r="E54" s="8"/>
      <c r="F54" s="8" t="s">
        <v>31</v>
      </c>
      <c r="G54" s="9">
        <v>8</v>
      </c>
      <c r="H54" s="10"/>
      <c r="I54" s="10"/>
      <c r="J54" s="10"/>
      <c r="K54" s="10"/>
      <c r="L54" s="10"/>
      <c r="M54" s="10"/>
      <c r="N54" s="10"/>
      <c r="O54" s="10"/>
      <c r="P54" s="10">
        <v>2</v>
      </c>
      <c r="Q54" s="10"/>
      <c r="R54" s="10"/>
      <c r="S54" s="10"/>
      <c r="T54" s="10"/>
      <c r="U54" s="10"/>
      <c r="V54" s="10"/>
      <c r="W54" s="10"/>
      <c r="X54" s="11">
        <f t="shared" si="4"/>
        <v>2</v>
      </c>
      <c r="Y54" s="9"/>
      <c r="Z54" s="28">
        <f t="shared" si="0"/>
        <v>6</v>
      </c>
    </row>
    <row r="55" spans="1:26">
      <c r="A55" s="6"/>
      <c r="B55" s="7"/>
      <c r="C55" s="8"/>
      <c r="D55" s="8"/>
      <c r="E55" s="8"/>
      <c r="F55" s="8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>
        <f t="shared" si="4"/>
        <v>0</v>
      </c>
      <c r="Y55" s="9"/>
      <c r="Z55" s="28">
        <f t="shared" si="0"/>
        <v>0</v>
      </c>
    </row>
    <row r="56" spans="1:26">
      <c r="A56" s="16" t="s">
        <v>131</v>
      </c>
      <c r="B56" s="13" t="s">
        <v>132</v>
      </c>
      <c r="C56" s="12"/>
      <c r="D56" s="12"/>
      <c r="E56" s="12"/>
      <c r="F56" s="8"/>
      <c r="G56" s="8">
        <v>30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1">
        <f t="shared" si="4"/>
        <v>0</v>
      </c>
      <c r="Y56" s="9"/>
      <c r="Z56" s="28">
        <f t="shared" si="0"/>
        <v>30</v>
      </c>
    </row>
    <row r="57" spans="1:26">
      <c r="A57" s="16" t="s">
        <v>133</v>
      </c>
      <c r="B57" s="13" t="s">
        <v>134</v>
      </c>
      <c r="C57" s="12"/>
      <c r="D57" s="12"/>
      <c r="E57" s="12"/>
      <c r="F57" s="8"/>
      <c r="G57" s="8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1">
        <f t="shared" si="4"/>
        <v>0</v>
      </c>
      <c r="Y57" s="14"/>
      <c r="Z57" s="28">
        <f t="shared" si="0"/>
        <v>0</v>
      </c>
    </row>
    <row r="58" spans="1:26">
      <c r="A58" s="17"/>
      <c r="B58" s="18"/>
      <c r="C58" s="19" t="s">
        <v>135</v>
      </c>
      <c r="D58" s="19"/>
      <c r="E58" s="19"/>
      <c r="F58" s="8" t="s">
        <v>25</v>
      </c>
      <c r="G58" s="8">
        <v>4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11">
        <f t="shared" si="4"/>
        <v>0</v>
      </c>
      <c r="Y58" s="20"/>
      <c r="Z58" s="28">
        <f t="shared" si="0"/>
        <v>4</v>
      </c>
    </row>
    <row r="59" spans="1:26">
      <c r="A59" s="17"/>
      <c r="B59" s="18"/>
      <c r="C59" s="19" t="s">
        <v>136</v>
      </c>
      <c r="D59" s="19"/>
      <c r="E59" s="19"/>
      <c r="F59" s="8" t="s">
        <v>25</v>
      </c>
      <c r="G59" s="8">
        <v>16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11">
        <f t="shared" si="4"/>
        <v>0</v>
      </c>
      <c r="Y59" s="20"/>
      <c r="Z59" s="28">
        <f t="shared" si="0"/>
        <v>16</v>
      </c>
    </row>
    <row r="60" spans="1:26" ht="12.6" thickBot="1">
      <c r="A60" s="17"/>
      <c r="B60" s="18"/>
      <c r="C60" s="19"/>
      <c r="D60" s="19"/>
      <c r="E60" s="19"/>
      <c r="F60" s="19"/>
      <c r="G60" s="20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11">
        <f t="shared" si="4"/>
        <v>0</v>
      </c>
      <c r="Y60" s="20"/>
      <c r="Z60" s="28">
        <f>G60-X60-Y60</f>
        <v>0</v>
      </c>
    </row>
    <row r="61" spans="1:26" ht="12.6" thickBot="1">
      <c r="A61" s="22"/>
      <c r="B61" s="2" t="s">
        <v>137</v>
      </c>
      <c r="C61" s="3"/>
      <c r="D61" s="3"/>
      <c r="E61" s="3"/>
      <c r="F61" s="23">
        <f t="shared" ref="F61:Z61" si="5">SUM(F2:F60)</f>
        <v>0</v>
      </c>
      <c r="G61" s="23">
        <f t="shared" si="5"/>
        <v>322</v>
      </c>
      <c r="H61" s="23">
        <f t="shared" si="5"/>
        <v>0</v>
      </c>
      <c r="I61" s="23">
        <f t="shared" si="5"/>
        <v>6</v>
      </c>
      <c r="J61" s="23">
        <f t="shared" si="5"/>
        <v>14</v>
      </c>
      <c r="K61" s="23">
        <f t="shared" si="5"/>
        <v>23</v>
      </c>
      <c r="L61" s="23">
        <f t="shared" si="5"/>
        <v>25</v>
      </c>
      <c r="M61" s="23">
        <f t="shared" si="5"/>
        <v>38</v>
      </c>
      <c r="N61" s="23">
        <f t="shared" si="5"/>
        <v>34</v>
      </c>
      <c r="O61" s="23">
        <f t="shared" si="5"/>
        <v>16</v>
      </c>
      <c r="P61" s="23">
        <f t="shared" si="5"/>
        <v>2</v>
      </c>
      <c r="Q61" s="23">
        <f t="shared" si="5"/>
        <v>0</v>
      </c>
      <c r="R61" s="23">
        <f t="shared" si="5"/>
        <v>0</v>
      </c>
      <c r="S61" s="23">
        <f t="shared" si="5"/>
        <v>0</v>
      </c>
      <c r="T61" s="23">
        <f t="shared" si="5"/>
        <v>0</v>
      </c>
      <c r="U61" s="23">
        <f t="shared" si="5"/>
        <v>0</v>
      </c>
      <c r="V61" s="23">
        <f t="shared" si="5"/>
        <v>0</v>
      </c>
      <c r="W61" s="23">
        <f t="shared" si="5"/>
        <v>0</v>
      </c>
      <c r="X61" s="23">
        <f t="shared" si="5"/>
        <v>111</v>
      </c>
      <c r="Y61" s="23">
        <f t="shared" si="5"/>
        <v>0</v>
      </c>
      <c r="Z61" s="29">
        <f t="shared" si="5"/>
        <v>173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3" orientation="landscape" r:id="rId1"/>
  <headerFooter alignWithMargins="0">
    <oddHeader>&amp;L&amp;F&amp;R&amp;D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e71810-b306-4605-a528-2fee1d93ac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3A1404E2E1054590D485DAC458649A" ma:contentTypeVersion="10" ma:contentTypeDescription="Crée un document." ma:contentTypeScope="" ma:versionID="1098ba095172e0521506c9a8afdcb647">
  <xsd:schema xmlns:xsd="http://www.w3.org/2001/XMLSchema" xmlns:xs="http://www.w3.org/2001/XMLSchema" xmlns:p="http://schemas.microsoft.com/office/2006/metadata/properties" xmlns:ns3="6ce71810-b306-4605-a528-2fee1d93ac7e" targetNamespace="http://schemas.microsoft.com/office/2006/metadata/properties" ma:root="true" ma:fieldsID="46987d762bb76b8608d4b55c112d424e" ns3:_="">
    <xsd:import namespace="6ce71810-b306-4605-a528-2fee1d93ac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71810-b306-4605-a528-2fee1d93ac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7540F2-1AED-4835-B404-D812F65B6718}"/>
</file>

<file path=customXml/itemProps2.xml><?xml version="1.0" encoding="utf-8"?>
<ds:datastoreItem xmlns:ds="http://schemas.openxmlformats.org/officeDocument/2006/customXml" ds:itemID="{A7AD2B64-6BFA-4087-BA5C-95B737309A9F}"/>
</file>

<file path=customXml/itemProps3.xml><?xml version="1.0" encoding="utf-8"?>
<ds:datastoreItem xmlns:ds="http://schemas.openxmlformats.org/officeDocument/2006/customXml" ds:itemID="{08D3F4F6-D165-414E-AAA0-742B8243F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Birling François</dc:creator>
  <cp:keywords/>
  <dc:description/>
  <cp:lastModifiedBy>Berthoud Tom</cp:lastModifiedBy>
  <cp:revision/>
  <dcterms:created xsi:type="dcterms:W3CDTF">1996-10-21T11:03:58Z</dcterms:created>
  <dcterms:modified xsi:type="dcterms:W3CDTF">2026-04-20T19:15:04Z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0x010100D63A1404E2E1054590D485DAC458649A</vt:lpwstr>
  </property>
</Properties>
</file>